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r1\OneDrive\Desktop\Kalyvas\10-2-25\"/>
    </mc:Choice>
  </mc:AlternateContent>
  <xr:revisionPtr revIDLastSave="0" documentId="8_{5CFB5878-20A3-4A47-B9B1-C1950190AFB4}" xr6:coauthVersionLast="47" xr6:coauthVersionMax="47" xr10:uidLastSave="{00000000-0000-0000-0000-000000000000}"/>
  <bookViews>
    <workbookView xWindow="28680" yWindow="-120" windowWidth="29040" windowHeight="15840" xr2:uid="{D3AA1051-E77F-4E24-B9B9-AC0ADF0E4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6" i="1" l="1"/>
  <c r="D16" i="1"/>
  <c r="D6" i="1"/>
  <c r="D8" i="1"/>
  <c r="D57" i="1"/>
  <c r="D48" i="1"/>
  <c r="D44" i="1"/>
  <c r="D39" i="1"/>
  <c r="D40" i="1"/>
  <c r="D37" i="1"/>
  <c r="D34" i="1"/>
  <c r="D32" i="1"/>
  <c r="D31" i="1"/>
  <c r="D30" i="1"/>
  <c r="D29" i="1"/>
  <c r="D28" i="1"/>
  <c r="D25" i="1"/>
  <c r="D23" i="1"/>
  <c r="D22" i="1"/>
  <c r="D20" i="1"/>
  <c r="D19" i="1"/>
  <c r="D18" i="1"/>
  <c r="D15" i="1"/>
  <c r="D7" i="1"/>
  <c r="D9" i="1"/>
  <c r="D10" i="1"/>
  <c r="D11" i="1"/>
  <c r="D65" i="1"/>
  <c r="D64" i="1"/>
  <c r="D63" i="1"/>
  <c r="D62" i="1"/>
  <c r="C60" i="1"/>
  <c r="C66" i="1" s="1"/>
  <c r="B60" i="1"/>
  <c r="D59" i="1"/>
  <c r="D55" i="1"/>
  <c r="D51" i="1"/>
  <c r="D41" i="1"/>
  <c r="D5" i="1"/>
  <c r="D3" i="1"/>
  <c r="D54" i="1"/>
  <c r="D52" i="1"/>
  <c r="D50" i="1"/>
  <c r="D45" i="1"/>
  <c r="D43" i="1"/>
  <c r="D42" i="1"/>
  <c r="D38" i="1"/>
  <c r="D21" i="1"/>
  <c r="D58" i="1"/>
  <c r="D56" i="1"/>
  <c r="D60" i="1" s="1"/>
  <c r="D53" i="1"/>
  <c r="D49" i="1"/>
  <c r="D47" i="1"/>
  <c r="D46" i="1"/>
  <c r="D36" i="1"/>
  <c r="D35" i="1"/>
  <c r="D33" i="1"/>
  <c r="D27" i="1"/>
  <c r="D26" i="1"/>
  <c r="D24" i="1"/>
  <c r="D17" i="1"/>
  <c r="D14" i="1"/>
  <c r="D13" i="1"/>
  <c r="D12" i="1"/>
  <c r="D4" i="1"/>
  <c r="D2" i="1"/>
  <c r="D66" i="1" l="1"/>
</calcChain>
</file>

<file path=xl/sharedStrings.xml><?xml version="1.0" encoding="utf-8"?>
<sst xmlns="http://schemas.openxmlformats.org/spreadsheetml/2006/main" count="79" uniqueCount="76">
  <si>
    <t>APEX</t>
  </si>
  <si>
    <t>Difference</t>
  </si>
  <si>
    <t>Notes</t>
  </si>
  <si>
    <t>APPLIANCES</t>
  </si>
  <si>
    <t>AWNING &amp; PATIO COVERS</t>
  </si>
  <si>
    <t>CABINETRY</t>
  </si>
  <si>
    <t>CLEANING</t>
  </si>
  <si>
    <t>CONCRETE &amp; ASPHALT</t>
  </si>
  <si>
    <t>GENERAL DEMOLITION</t>
  </si>
  <si>
    <t>DOORS</t>
  </si>
  <si>
    <t>DRYWALL</t>
  </si>
  <si>
    <t>EXCAVATION</t>
  </si>
  <si>
    <t>EXTERIOR STRUCTURES</t>
  </si>
  <si>
    <t>ELECTRICAL -SPECIAL SYSTEMS</t>
  </si>
  <si>
    <t>ELECTRICAL</t>
  </si>
  <si>
    <t>FIREPLACES</t>
  </si>
  <si>
    <t>FLOOR COVERING - CARPET</t>
  </si>
  <si>
    <t>FLOOR COVERING -CERAMIC TILE</t>
  </si>
  <si>
    <t>FLOOR COVERING-STONE</t>
  </si>
  <si>
    <t>FLOOR COVERING - WOOD</t>
  </si>
  <si>
    <t>FINISH CARPENTRY / TRIMWORK</t>
  </si>
  <si>
    <t>FINISH HARDWARE</t>
  </si>
  <si>
    <t>FRAMING &amp; ROUGH CARPENTRY</t>
  </si>
  <si>
    <t>HEAVY EQUIPMENT</t>
  </si>
  <si>
    <t>HEAT,  VENT &amp; AIR CONDITIONING</t>
  </si>
  <si>
    <t>LANDSCAPING</t>
  </si>
  <si>
    <t>INTERIOR LATH &amp; PLASTER</t>
  </si>
  <si>
    <t>INSULATION</t>
  </si>
  <si>
    <t>INSULATION- MECHANICAL</t>
  </si>
  <si>
    <t>LABOR ONLY</t>
  </si>
  <si>
    <t>LIGHT FIXTURES</t>
  </si>
  <si>
    <t>MIRRORS &amp; SHOWER DOORS</t>
  </si>
  <si>
    <t>METAL STRUCTURE &amp; COMPONENTS</t>
  </si>
  <si>
    <t>MANSORY</t>
  </si>
  <si>
    <t>MOISTURE PROTECTION</t>
  </si>
  <si>
    <t>MISC. EQUIPMENT - COMMERCIAL</t>
  </si>
  <si>
    <t>ORNAMENTAL IRON</t>
  </si>
  <si>
    <t>PANELING &amp; WOOD WALL FINISHES</t>
  </si>
  <si>
    <t>PLUMBING</t>
  </si>
  <si>
    <t>PAINTING</t>
  </si>
  <si>
    <t>ROOFING</t>
  </si>
  <si>
    <t>SCAFFOLDING</t>
  </si>
  <si>
    <t>SPECIALTY ITEMS</t>
  </si>
  <si>
    <t>SIDING</t>
  </si>
  <si>
    <t>STEEL COMPONENTS</t>
  </si>
  <si>
    <t>STAIRS</t>
  </si>
  <si>
    <t>SOFFIT, FASCIA GUTTER</t>
  </si>
  <si>
    <t>STUCCO, EXTERIOR PLASTER</t>
  </si>
  <si>
    <t>TILE</t>
  </si>
  <si>
    <t>USER DEFINED ITEMS</t>
  </si>
  <si>
    <t>TEMPORARY REPAIRS</t>
  </si>
  <si>
    <t>WINDOW GLAZING &amp; REPAIR</t>
  </si>
  <si>
    <t xml:space="preserve">WINDOW -ALUMINUM </t>
  </si>
  <si>
    <t>WINDOW TREATMENT</t>
  </si>
  <si>
    <t>WINDOWS - WOOD</t>
  </si>
  <si>
    <t>Subtotals</t>
  </si>
  <si>
    <t>Material Sales Tax</t>
  </si>
  <si>
    <t xml:space="preserve">Permit &amp; Fees </t>
  </si>
  <si>
    <t>Overhead</t>
  </si>
  <si>
    <t>Profit</t>
  </si>
  <si>
    <t>Final Total</t>
  </si>
  <si>
    <t>State Farm</t>
  </si>
  <si>
    <t>KITCHEN</t>
  </si>
  <si>
    <t>.</t>
  </si>
  <si>
    <t>..</t>
  </si>
  <si>
    <t>MARBLE - CULTURED OR NATURAL</t>
  </si>
  <si>
    <t>WINDOWS - SLIDING PATIO DOORS</t>
  </si>
  <si>
    <t>WINDOWS - SKYLIGHTS</t>
  </si>
  <si>
    <t>WALLPAPER</t>
  </si>
  <si>
    <t>TOP 5 Categorical Differences</t>
  </si>
  <si>
    <t>4. Landscaping</t>
  </si>
  <si>
    <t>5. Floor Covering Stone</t>
  </si>
  <si>
    <t>1. Heat, Vent &amp; Air Conditioning</t>
  </si>
  <si>
    <t xml:space="preserve">2. Painting </t>
  </si>
  <si>
    <t>3. Stucco &amp; Exterior Plaster</t>
  </si>
  <si>
    <t>6.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</si>
</sst>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/>
    <xf numFmtId="0" fontId="2" fillId="0" borderId="1" xfId="0" applyFont="1" applyBorder="1"/>
    <xf numFmtId="44" fontId="0" fillId="0" borderId="1" xfId="1" applyFont="1" applyBorder="1"/>
    <xf numFmtId="0" fontId="0" fillId="0" borderId="1" xfId="0" applyBorder="1"/>
    <xf numFmtId="44" fontId="2" fillId="0" borderId="1" xfId="1" applyFont="1" applyBorder="1"/>
    <xf numFmtId="44" fontId="2" fillId="2" borderId="1" xfId="1" applyFont="1" applyFill="1" applyBorder="1"/>
    <xf numFmtId="44" fontId="0" fillId="2" borderId="1" xfId="1" applyFont="1" applyFill="1" applyBorder="1"/>
    <xf numFmtId="44" fontId="0" fillId="2" borderId="0" xfId="1" applyFont="1" applyFill="1"/>
    <xf numFmtId="44" fontId="2" fillId="2" borderId="1" xfId="1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0" xfId="0" applyFont="1"/>
    <xf numFmtId="164" fontId="0" fillId="0" borderId="1" xfId="1" applyNumberFormat="1" applyFont="1" applyBorder="1"/>
    <xf numFmtId="164" fontId="0" fillId="2" borderId="1" xfId="1" applyNumberFormat="1" applyFont="1" applyFill="1" applyBorder="1"/>
    <xf numFmtId="44" fontId="0" fillId="2" borderId="1" xfId="1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right"/>
    </xf>
    <xf numFmtId="164" fontId="2" fillId="2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323C-3194-4EBF-B1F0-66978649EC10}">
  <dimension ref="A1:E74"/>
  <sheetViews>
    <sheetView tabSelected="1" workbookViewId="0">
      <selection activeCell="A74" sqref="A74:XFD74"/>
    </sheetView>
  </sheetViews>
  <sheetFormatPr defaultRowHeight="15" x14ac:dyDescent="0.25"/>
  <cols>
    <col min="1" max="1" width="31.7109375" customWidth="1"/>
    <col min="2" max="2" width="15.5703125" style="8" customWidth="1"/>
    <col min="3" max="3" width="18.28515625" style="1" customWidth="1"/>
    <col min="4" max="4" width="21.85546875" style="1" customWidth="1"/>
    <col min="5" max="5" width="90.5703125" customWidth="1"/>
  </cols>
  <sheetData>
    <row r="1" spans="1:5" s="4" customFormat="1" x14ac:dyDescent="0.25">
      <c r="A1" s="2" t="s">
        <v>62</v>
      </c>
      <c r="B1" s="9" t="s">
        <v>0</v>
      </c>
      <c r="C1" s="10" t="s">
        <v>61</v>
      </c>
      <c r="D1" s="5" t="s">
        <v>1</v>
      </c>
      <c r="E1" s="2" t="s">
        <v>2</v>
      </c>
    </row>
    <row r="2" spans="1:5" s="4" customFormat="1" x14ac:dyDescent="0.25">
      <c r="B2" s="7"/>
      <c r="C2" s="3"/>
      <c r="D2" s="12">
        <f t="shared" ref="D2:D36" si="0">C2-B2</f>
        <v>0</v>
      </c>
    </row>
    <row r="3" spans="1:5" s="4" customFormat="1" x14ac:dyDescent="0.25">
      <c r="A3" s="4" t="s">
        <v>3</v>
      </c>
      <c r="B3" s="7">
        <v>70562.44</v>
      </c>
      <c r="C3" s="3">
        <v>0</v>
      </c>
      <c r="D3" s="13">
        <f>B3-C3</f>
        <v>70562.44</v>
      </c>
    </row>
    <row r="4" spans="1:5" s="4" customFormat="1" x14ac:dyDescent="0.25">
      <c r="A4" s="4" t="s">
        <v>4</v>
      </c>
      <c r="B4" s="7"/>
      <c r="C4" s="3">
        <v>0</v>
      </c>
      <c r="D4" s="12">
        <f t="shared" si="0"/>
        <v>0</v>
      </c>
    </row>
    <row r="5" spans="1:5" s="4" customFormat="1" x14ac:dyDescent="0.25">
      <c r="A5" s="4" t="s">
        <v>5</v>
      </c>
      <c r="B5" s="7">
        <v>63004.55</v>
      </c>
      <c r="C5" s="3">
        <v>14308.6</v>
      </c>
      <c r="D5" s="13">
        <f t="shared" ref="D5:D11" si="1">B5-C5</f>
        <v>48695.950000000004</v>
      </c>
      <c r="E5" s="4" t="s">
        <v>63</v>
      </c>
    </row>
    <row r="6" spans="1:5" s="4" customFormat="1" x14ac:dyDescent="0.25">
      <c r="A6" s="4" t="s">
        <v>6</v>
      </c>
      <c r="B6" s="7">
        <v>19350.38</v>
      </c>
      <c r="C6" s="3">
        <v>30936.13</v>
      </c>
      <c r="D6" s="12">
        <f t="shared" si="1"/>
        <v>-11585.75</v>
      </c>
    </row>
    <row r="7" spans="1:5" s="4" customFormat="1" x14ac:dyDescent="0.25">
      <c r="A7" s="4" t="s">
        <v>7</v>
      </c>
      <c r="B7" s="7">
        <v>2707.47</v>
      </c>
      <c r="C7" s="3">
        <v>0</v>
      </c>
      <c r="D7" s="13">
        <f t="shared" si="1"/>
        <v>2707.47</v>
      </c>
    </row>
    <row r="8" spans="1:5" s="4" customFormat="1" x14ac:dyDescent="0.25">
      <c r="A8" s="4" t="s">
        <v>8</v>
      </c>
      <c r="B8" s="7">
        <v>63312.51</v>
      </c>
      <c r="C8" s="3">
        <v>24606.3</v>
      </c>
      <c r="D8" s="12">
        <f t="shared" si="1"/>
        <v>38706.210000000006</v>
      </c>
    </row>
    <row r="9" spans="1:5" s="4" customFormat="1" x14ac:dyDescent="0.25">
      <c r="A9" s="4" t="s">
        <v>9</v>
      </c>
      <c r="B9" s="7">
        <v>4161.17</v>
      </c>
      <c r="C9" s="3">
        <v>1015.08</v>
      </c>
      <c r="D9" s="13">
        <f t="shared" si="1"/>
        <v>3146.09</v>
      </c>
    </row>
    <row r="10" spans="1:5" s="4" customFormat="1" x14ac:dyDescent="0.25">
      <c r="A10" s="4" t="s">
        <v>10</v>
      </c>
      <c r="B10" s="7">
        <v>15271.62</v>
      </c>
      <c r="C10" s="3">
        <v>9682.26</v>
      </c>
      <c r="D10" s="13">
        <f t="shared" si="1"/>
        <v>5589.3600000000006</v>
      </c>
    </row>
    <row r="11" spans="1:5" s="4" customFormat="1" x14ac:dyDescent="0.25">
      <c r="A11" s="4" t="s">
        <v>14</v>
      </c>
      <c r="B11" s="7">
        <v>10328.34</v>
      </c>
      <c r="C11" s="3">
        <v>2869.58</v>
      </c>
      <c r="D11" s="13">
        <f t="shared" si="1"/>
        <v>7458.76</v>
      </c>
    </row>
    <row r="12" spans="1:5" s="4" customFormat="1" x14ac:dyDescent="0.25">
      <c r="A12" s="4" t="s">
        <v>13</v>
      </c>
      <c r="B12" s="7">
        <v>3675.69</v>
      </c>
      <c r="C12" s="3">
        <v>0</v>
      </c>
      <c r="D12" s="13">
        <f t="shared" si="0"/>
        <v>-3675.69</v>
      </c>
    </row>
    <row r="13" spans="1:5" s="4" customFormat="1" x14ac:dyDescent="0.25">
      <c r="A13" s="4" t="s">
        <v>11</v>
      </c>
      <c r="B13" s="7">
        <v>0</v>
      </c>
      <c r="C13" s="3">
        <v>0</v>
      </c>
      <c r="D13" s="12">
        <f t="shared" si="0"/>
        <v>0</v>
      </c>
    </row>
    <row r="14" spans="1:5" s="4" customFormat="1" x14ac:dyDescent="0.25">
      <c r="A14" s="4" t="s">
        <v>12</v>
      </c>
      <c r="B14" s="7">
        <v>0</v>
      </c>
      <c r="C14" s="3">
        <v>0</v>
      </c>
      <c r="D14" s="12">
        <f t="shared" si="0"/>
        <v>0</v>
      </c>
    </row>
    <row r="15" spans="1:5" s="4" customFormat="1" x14ac:dyDescent="0.25">
      <c r="A15" s="4" t="s">
        <v>20</v>
      </c>
      <c r="B15" s="7">
        <v>22666.32</v>
      </c>
      <c r="C15" s="3">
        <v>2601.89</v>
      </c>
      <c r="D15" s="13">
        <f>B15-C15</f>
        <v>20064.43</v>
      </c>
    </row>
    <row r="16" spans="1:5" s="4" customFormat="1" x14ac:dyDescent="0.25">
      <c r="A16" s="4" t="s">
        <v>21</v>
      </c>
      <c r="B16" s="7">
        <v>0</v>
      </c>
      <c r="C16" s="3">
        <v>68.11</v>
      </c>
      <c r="D16" s="12">
        <f>B16-C16</f>
        <v>-68.11</v>
      </c>
    </row>
    <row r="17" spans="1:5" s="4" customFormat="1" x14ac:dyDescent="0.25">
      <c r="A17" s="4" t="s">
        <v>15</v>
      </c>
      <c r="B17" s="7"/>
      <c r="C17" s="3"/>
      <c r="D17" s="12">
        <f t="shared" si="0"/>
        <v>0</v>
      </c>
    </row>
    <row r="18" spans="1:5" s="4" customFormat="1" x14ac:dyDescent="0.25">
      <c r="A18" s="4" t="s">
        <v>16</v>
      </c>
      <c r="B18" s="7">
        <v>28508.76</v>
      </c>
      <c r="C18" s="3">
        <v>21679.32</v>
      </c>
      <c r="D18" s="13">
        <f t="shared" ref="D18:D23" si="2">B18-C18</f>
        <v>6829.4399999999987</v>
      </c>
    </row>
    <row r="19" spans="1:5" s="4" customFormat="1" x14ac:dyDescent="0.25">
      <c r="A19" s="4" t="s">
        <v>19</v>
      </c>
      <c r="B19" s="7">
        <v>26099.65</v>
      </c>
      <c r="C19" s="3">
        <v>4799.68</v>
      </c>
      <c r="D19" s="13">
        <f t="shared" si="2"/>
        <v>21299.97</v>
      </c>
    </row>
    <row r="20" spans="1:5" s="4" customFormat="1" x14ac:dyDescent="0.25">
      <c r="A20" s="4" t="s">
        <v>17</v>
      </c>
      <c r="B20" s="7">
        <v>3264.71</v>
      </c>
      <c r="C20" s="3">
        <v>716.95</v>
      </c>
      <c r="D20" s="13">
        <f t="shared" si="2"/>
        <v>2547.7600000000002</v>
      </c>
    </row>
    <row r="21" spans="1:5" s="4" customFormat="1" x14ac:dyDescent="0.25">
      <c r="A21" s="4" t="s">
        <v>18</v>
      </c>
      <c r="B21" s="7">
        <v>74078.36</v>
      </c>
      <c r="C21" s="3">
        <v>2083.11</v>
      </c>
      <c r="D21" s="13">
        <f t="shared" si="2"/>
        <v>71995.25</v>
      </c>
      <c r="E21" s="4" t="s">
        <v>63</v>
      </c>
    </row>
    <row r="22" spans="1:5" s="4" customFormat="1" x14ac:dyDescent="0.25">
      <c r="A22" s="4" t="s">
        <v>22</v>
      </c>
      <c r="B22" s="7">
        <v>4821.8500000000004</v>
      </c>
      <c r="C22" s="3">
        <v>1115.9100000000001</v>
      </c>
      <c r="D22" s="13">
        <f t="shared" si="2"/>
        <v>3705.9400000000005</v>
      </c>
    </row>
    <row r="23" spans="1:5" s="4" customFormat="1" x14ac:dyDescent="0.25">
      <c r="A23" s="4" t="s">
        <v>24</v>
      </c>
      <c r="B23" s="7">
        <v>98270.24</v>
      </c>
      <c r="C23" s="3">
        <v>8984.34</v>
      </c>
      <c r="D23" s="13">
        <f t="shared" si="2"/>
        <v>89285.900000000009</v>
      </c>
    </row>
    <row r="24" spans="1:5" s="4" customFormat="1" x14ac:dyDescent="0.25">
      <c r="A24" s="4" t="s">
        <v>23</v>
      </c>
      <c r="B24" s="7">
        <v>0</v>
      </c>
      <c r="C24" s="3">
        <v>0</v>
      </c>
      <c r="D24" s="12">
        <f t="shared" si="0"/>
        <v>0</v>
      </c>
    </row>
    <row r="25" spans="1:5" s="4" customFormat="1" x14ac:dyDescent="0.25">
      <c r="A25" s="4" t="s">
        <v>27</v>
      </c>
      <c r="B25" s="7">
        <v>695.16</v>
      </c>
      <c r="C25" s="3"/>
      <c r="D25" s="13">
        <f>B25-C25</f>
        <v>695.16</v>
      </c>
    </row>
    <row r="26" spans="1:5" s="4" customFormat="1" x14ac:dyDescent="0.25">
      <c r="A26" s="4" t="s">
        <v>28</v>
      </c>
      <c r="B26" s="7">
        <v>0</v>
      </c>
      <c r="C26" s="3">
        <v>0</v>
      </c>
      <c r="D26" s="12">
        <f t="shared" si="0"/>
        <v>0</v>
      </c>
    </row>
    <row r="27" spans="1:5" s="4" customFormat="1" x14ac:dyDescent="0.25">
      <c r="A27" s="4" t="s">
        <v>26</v>
      </c>
      <c r="B27" s="7">
        <v>0</v>
      </c>
      <c r="C27" s="3">
        <v>0</v>
      </c>
      <c r="D27" s="12">
        <f t="shared" si="0"/>
        <v>0</v>
      </c>
    </row>
    <row r="28" spans="1:5" s="4" customFormat="1" x14ac:dyDescent="0.25">
      <c r="A28" s="4" t="s">
        <v>29</v>
      </c>
      <c r="B28" s="7">
        <v>25756.080000000002</v>
      </c>
      <c r="C28" s="3">
        <v>12913.5</v>
      </c>
      <c r="D28" s="13">
        <f>B28-C28</f>
        <v>12842.580000000002</v>
      </c>
    </row>
    <row r="29" spans="1:5" s="4" customFormat="1" x14ac:dyDescent="0.25">
      <c r="A29" s="4" t="s">
        <v>25</v>
      </c>
      <c r="B29" s="7">
        <v>72847.42</v>
      </c>
      <c r="C29" s="3">
        <v>0</v>
      </c>
      <c r="D29" s="13">
        <f>B29-C29</f>
        <v>72847.42</v>
      </c>
    </row>
    <row r="30" spans="1:5" s="4" customFormat="1" x14ac:dyDescent="0.25">
      <c r="A30" s="4" t="s">
        <v>30</v>
      </c>
      <c r="B30" s="7">
        <v>58314.11</v>
      </c>
      <c r="C30" s="3">
        <v>2756.81</v>
      </c>
      <c r="D30" s="13">
        <f>B30-C30</f>
        <v>55557.3</v>
      </c>
    </row>
    <row r="31" spans="1:5" s="4" customFormat="1" x14ac:dyDescent="0.25">
      <c r="A31" s="4" t="s">
        <v>33</v>
      </c>
      <c r="B31" s="7">
        <v>6220.29</v>
      </c>
      <c r="C31" s="3">
        <v>0</v>
      </c>
      <c r="D31" s="13">
        <f>B31-C31</f>
        <v>6220.29</v>
      </c>
    </row>
    <row r="32" spans="1:5" s="4" customFormat="1" x14ac:dyDescent="0.25">
      <c r="A32" s="4" t="s">
        <v>65</v>
      </c>
      <c r="B32" s="15">
        <v>4379.3999999999996</v>
      </c>
      <c r="C32" s="3">
        <v>619.20000000000005</v>
      </c>
      <c r="D32" s="13">
        <f>B32-C32</f>
        <v>3760.2</v>
      </c>
    </row>
    <row r="33" spans="1:5" s="4" customFormat="1" x14ac:dyDescent="0.25">
      <c r="A33" s="4" t="s">
        <v>32</v>
      </c>
      <c r="B33" s="7"/>
      <c r="C33" s="3"/>
      <c r="D33" s="12">
        <f t="shared" si="0"/>
        <v>0</v>
      </c>
    </row>
    <row r="34" spans="1:5" s="4" customFormat="1" x14ac:dyDescent="0.25">
      <c r="A34" s="4" t="s">
        <v>31</v>
      </c>
      <c r="B34" s="7">
        <v>2599.98</v>
      </c>
      <c r="C34" s="3"/>
      <c r="D34" s="13">
        <f>B34-C34</f>
        <v>2599.98</v>
      </c>
    </row>
    <row r="35" spans="1:5" s="4" customFormat="1" x14ac:dyDescent="0.25">
      <c r="A35" s="4" t="s">
        <v>35</v>
      </c>
      <c r="B35" s="7"/>
      <c r="C35" s="3"/>
      <c r="D35" s="12">
        <f t="shared" si="0"/>
        <v>0</v>
      </c>
    </row>
    <row r="36" spans="1:5" s="4" customFormat="1" x14ac:dyDescent="0.25">
      <c r="A36" s="4" t="s">
        <v>34</v>
      </c>
      <c r="B36" s="7"/>
      <c r="C36" s="3"/>
      <c r="D36" s="12">
        <f t="shared" si="0"/>
        <v>0</v>
      </c>
    </row>
    <row r="37" spans="1:5" s="4" customFormat="1" x14ac:dyDescent="0.25">
      <c r="A37" s="4" t="s">
        <v>36</v>
      </c>
      <c r="B37" s="7">
        <v>5602.81</v>
      </c>
      <c r="C37" s="3">
        <v>3456.46</v>
      </c>
      <c r="D37" s="13">
        <f t="shared" ref="D37:D45" si="3">B37-C37</f>
        <v>2146.3500000000004</v>
      </c>
    </row>
    <row r="38" spans="1:5" s="4" customFormat="1" x14ac:dyDescent="0.25">
      <c r="A38" s="4" t="s">
        <v>39</v>
      </c>
      <c r="B38" s="7">
        <v>179272.84</v>
      </c>
      <c r="C38" s="3">
        <v>76454.42</v>
      </c>
      <c r="D38" s="13">
        <f t="shared" si="3"/>
        <v>102818.42</v>
      </c>
      <c r="E38" s="4" t="s">
        <v>63</v>
      </c>
    </row>
    <row r="39" spans="1:5" s="4" customFormat="1" x14ac:dyDescent="0.25">
      <c r="A39" s="4" t="s">
        <v>37</v>
      </c>
      <c r="B39" s="7">
        <v>77.88</v>
      </c>
      <c r="C39" s="3"/>
      <c r="D39" s="13">
        <f t="shared" si="3"/>
        <v>77.88</v>
      </c>
    </row>
    <row r="40" spans="1:5" s="4" customFormat="1" x14ac:dyDescent="0.25">
      <c r="A40" s="4" t="s">
        <v>38</v>
      </c>
      <c r="B40" s="7">
        <v>16668.97</v>
      </c>
      <c r="C40" s="3">
        <v>9312.58</v>
      </c>
      <c r="D40" s="13">
        <f t="shared" si="3"/>
        <v>7356.3900000000012</v>
      </c>
    </row>
    <row r="41" spans="1:5" s="4" customFormat="1" x14ac:dyDescent="0.25">
      <c r="A41" s="4" t="s">
        <v>40</v>
      </c>
      <c r="B41" s="7">
        <v>106566.53</v>
      </c>
      <c r="C41" s="3">
        <v>105609.11</v>
      </c>
      <c r="D41" s="14">
        <f t="shared" si="3"/>
        <v>957.41999999999825</v>
      </c>
    </row>
    <row r="42" spans="1:5" s="4" customFormat="1" x14ac:dyDescent="0.25">
      <c r="A42" s="4" t="s">
        <v>41</v>
      </c>
      <c r="B42" s="7">
        <v>17610</v>
      </c>
      <c r="C42" s="3">
        <v>22658.22</v>
      </c>
      <c r="D42" s="12">
        <f t="shared" si="3"/>
        <v>-5048.2200000000012</v>
      </c>
    </row>
    <row r="43" spans="1:5" s="4" customFormat="1" x14ac:dyDescent="0.25">
      <c r="A43" s="4" t="s">
        <v>43</v>
      </c>
      <c r="B43" s="7"/>
      <c r="C43" s="3"/>
      <c r="D43" s="12">
        <f t="shared" si="3"/>
        <v>0</v>
      </c>
    </row>
    <row r="44" spans="1:5" s="4" customFormat="1" x14ac:dyDescent="0.25">
      <c r="A44" s="4" t="s">
        <v>46</v>
      </c>
      <c r="B44" s="7">
        <v>11191.83</v>
      </c>
      <c r="C44" s="3">
        <v>11191.83</v>
      </c>
      <c r="D44" s="12">
        <f t="shared" si="3"/>
        <v>0</v>
      </c>
    </row>
    <row r="45" spans="1:5" s="4" customFormat="1" x14ac:dyDescent="0.25">
      <c r="A45" s="4" t="s">
        <v>42</v>
      </c>
      <c r="B45" s="7">
        <v>13712.62</v>
      </c>
      <c r="C45" s="3">
        <v>8476.1200000000008</v>
      </c>
      <c r="D45" s="13">
        <f t="shared" si="3"/>
        <v>5236.5</v>
      </c>
    </row>
    <row r="46" spans="1:5" s="4" customFormat="1" x14ac:dyDescent="0.25">
      <c r="A46" s="4" t="s">
        <v>45</v>
      </c>
      <c r="B46" s="7"/>
      <c r="C46" s="3"/>
      <c r="D46" s="12">
        <f>C46-B46</f>
        <v>0</v>
      </c>
    </row>
    <row r="47" spans="1:5" s="4" customFormat="1" x14ac:dyDescent="0.25">
      <c r="A47" s="4" t="s">
        <v>44</v>
      </c>
      <c r="B47" s="7"/>
      <c r="C47" s="3"/>
      <c r="D47" s="12">
        <f>C47-B47</f>
        <v>0</v>
      </c>
    </row>
    <row r="48" spans="1:5" s="4" customFormat="1" x14ac:dyDescent="0.25">
      <c r="A48" s="4" t="s">
        <v>47</v>
      </c>
      <c r="B48" s="7">
        <v>173750</v>
      </c>
      <c r="C48" s="3">
        <v>82756.52</v>
      </c>
      <c r="D48" s="13">
        <f>B48-C48</f>
        <v>90993.48</v>
      </c>
    </row>
    <row r="49" spans="1:5" s="4" customFormat="1" x14ac:dyDescent="0.25">
      <c r="A49" s="4" t="s">
        <v>50</v>
      </c>
      <c r="B49" s="7"/>
      <c r="C49" s="3"/>
      <c r="D49" s="12">
        <f>C49-B49</f>
        <v>0</v>
      </c>
    </row>
    <row r="50" spans="1:5" s="4" customFormat="1" x14ac:dyDescent="0.25">
      <c r="A50" s="4" t="s">
        <v>48</v>
      </c>
      <c r="B50" s="7">
        <v>24757.63</v>
      </c>
      <c r="C50" s="3">
        <v>6913.69</v>
      </c>
      <c r="D50" s="13">
        <f>B50-C50</f>
        <v>17843.940000000002</v>
      </c>
      <c r="E50" s="4" t="s">
        <v>64</v>
      </c>
    </row>
    <row r="51" spans="1:5" s="4" customFormat="1" x14ac:dyDescent="0.25">
      <c r="A51" s="4" t="s">
        <v>50</v>
      </c>
      <c r="B51" s="7">
        <v>3005.8</v>
      </c>
      <c r="C51" s="3">
        <v>1125</v>
      </c>
      <c r="D51" s="13">
        <f>B51-C51</f>
        <v>1880.8000000000002</v>
      </c>
    </row>
    <row r="52" spans="1:5" s="4" customFormat="1" x14ac:dyDescent="0.25">
      <c r="A52" s="4" t="s">
        <v>49</v>
      </c>
      <c r="B52" s="7"/>
      <c r="C52" s="3"/>
      <c r="D52" s="12">
        <f>B53-C52</f>
        <v>0</v>
      </c>
    </row>
    <row r="53" spans="1:5" s="4" customFormat="1" x14ac:dyDescent="0.25">
      <c r="A53" s="4" t="s">
        <v>52</v>
      </c>
      <c r="B53" s="7"/>
      <c r="C53" s="3"/>
      <c r="D53" s="12">
        <f>C53-B53</f>
        <v>0</v>
      </c>
    </row>
    <row r="54" spans="1:5" s="4" customFormat="1" x14ac:dyDescent="0.25">
      <c r="A54" s="4" t="s">
        <v>51</v>
      </c>
      <c r="B54" s="7">
        <v>11561.23</v>
      </c>
      <c r="C54" s="3">
        <v>10989.31</v>
      </c>
      <c r="D54" s="13">
        <f>B54-C54</f>
        <v>571.92000000000007</v>
      </c>
    </row>
    <row r="55" spans="1:5" s="4" customFormat="1" x14ac:dyDescent="0.25">
      <c r="A55" s="4" t="s">
        <v>66</v>
      </c>
      <c r="B55" s="7">
        <v>1673.86</v>
      </c>
      <c r="C55" s="3">
        <v>1125</v>
      </c>
      <c r="D55" s="13">
        <f>B55-C55</f>
        <v>548.8599999999999</v>
      </c>
    </row>
    <row r="56" spans="1:5" s="4" customFormat="1" x14ac:dyDescent="0.25">
      <c r="A56" s="4" t="s">
        <v>53</v>
      </c>
      <c r="B56" s="7">
        <v>47081.08</v>
      </c>
      <c r="C56" s="3">
        <v>1899.58</v>
      </c>
      <c r="D56" s="12">
        <f>C56-B56</f>
        <v>-45181.5</v>
      </c>
    </row>
    <row r="57" spans="1:5" s="4" customFormat="1" x14ac:dyDescent="0.25">
      <c r="A57" s="4" t="s">
        <v>67</v>
      </c>
      <c r="B57" s="7">
        <v>1210.5899999999999</v>
      </c>
      <c r="C57" s="3">
        <v>1210.5899999999999</v>
      </c>
      <c r="D57" s="12">
        <f>B57-C57</f>
        <v>0</v>
      </c>
    </row>
    <row r="58" spans="1:5" s="4" customFormat="1" x14ac:dyDescent="0.25">
      <c r="A58" s="4" t="s">
        <v>54</v>
      </c>
      <c r="B58" s="7"/>
      <c r="C58" s="3"/>
      <c r="D58" s="12">
        <f>C58-B58</f>
        <v>0</v>
      </c>
    </row>
    <row r="59" spans="1:5" s="4" customFormat="1" x14ac:dyDescent="0.25">
      <c r="A59" s="4" t="s">
        <v>68</v>
      </c>
      <c r="B59" s="7">
        <v>45882.559999999998</v>
      </c>
      <c r="C59" s="3">
        <v>15671.14</v>
      </c>
      <c r="D59" s="13">
        <f>B59-C59</f>
        <v>30211.42</v>
      </c>
    </row>
    <row r="60" spans="1:5" s="2" customFormat="1" x14ac:dyDescent="0.25">
      <c r="A60" s="2" t="s">
        <v>55</v>
      </c>
      <c r="B60" s="6">
        <f>SUM(B3:B59)</f>
        <v>1340522.7300000002</v>
      </c>
      <c r="C60" s="5">
        <f>SUM(C3:C59)</f>
        <v>500606.34</v>
      </c>
      <c r="D60" s="16">
        <f>SUM(D3:D59)</f>
        <v>742202.01000000013</v>
      </c>
    </row>
    <row r="61" spans="1:5" s="4" customFormat="1" x14ac:dyDescent="0.25">
      <c r="B61" s="7"/>
      <c r="C61" s="3"/>
      <c r="D61" s="3"/>
    </row>
    <row r="62" spans="1:5" s="2" customFormat="1" x14ac:dyDescent="0.25">
      <c r="A62" s="2" t="s">
        <v>57</v>
      </c>
      <c r="B62" s="6">
        <v>63.26</v>
      </c>
      <c r="C62" s="5">
        <v>308.24</v>
      </c>
      <c r="D62" s="5">
        <f>B62-C62</f>
        <v>-244.98000000000002</v>
      </c>
    </row>
    <row r="63" spans="1:5" s="2" customFormat="1" x14ac:dyDescent="0.25">
      <c r="A63" s="2" t="s">
        <v>56</v>
      </c>
      <c r="B63" s="6">
        <v>19041.21</v>
      </c>
      <c r="C63" s="5">
        <v>10384.64</v>
      </c>
      <c r="D63" s="6">
        <f>B63-C63</f>
        <v>8656.57</v>
      </c>
    </row>
    <row r="64" spans="1:5" s="2" customFormat="1" x14ac:dyDescent="0.25">
      <c r="A64" s="2" t="s">
        <v>58</v>
      </c>
      <c r="B64" s="6">
        <v>135963.07999999999</v>
      </c>
      <c r="C64" s="5">
        <v>51114.400000000001</v>
      </c>
      <c r="D64" s="6">
        <f>B64-V64</f>
        <v>135963.07999999999</v>
      </c>
    </row>
    <row r="65" spans="1:4" s="2" customFormat="1" x14ac:dyDescent="0.25">
      <c r="A65" s="2" t="s">
        <v>59</v>
      </c>
      <c r="B65" s="6">
        <v>135963.07999999999</v>
      </c>
      <c r="C65" s="5">
        <v>51114.400000000001</v>
      </c>
      <c r="D65" s="6">
        <f>B65-C65</f>
        <v>84848.68</v>
      </c>
    </row>
    <row r="66" spans="1:4" s="4" customFormat="1" x14ac:dyDescent="0.25">
      <c r="A66" s="2" t="s">
        <v>60</v>
      </c>
      <c r="B66" s="6">
        <f>SUM(B60:B65)</f>
        <v>1631553.3600000003</v>
      </c>
      <c r="C66" s="5">
        <f>SUM(C3:C65)</f>
        <v>1114134.3599999999</v>
      </c>
      <c r="D66" s="6">
        <f>B66-C66</f>
        <v>517419.00000000047</v>
      </c>
    </row>
    <row r="68" spans="1:4" x14ac:dyDescent="0.25">
      <c r="A68" s="11" t="s">
        <v>69</v>
      </c>
    </row>
    <row r="69" spans="1:4" x14ac:dyDescent="0.25">
      <c r="A69" s="11" t="s">
        <v>72</v>
      </c>
      <c r="B69" s="8">
        <v>89295.9</v>
      </c>
    </row>
    <row r="70" spans="1:4" x14ac:dyDescent="0.25">
      <c r="A70" s="11" t="s">
        <v>73</v>
      </c>
      <c r="B70" s="8">
        <v>102818.02</v>
      </c>
    </row>
    <row r="71" spans="1:4" x14ac:dyDescent="0.25">
      <c r="A71" s="11" t="s">
        <v>74</v>
      </c>
      <c r="B71" s="8">
        <v>90993.48</v>
      </c>
    </row>
    <row r="72" spans="1:4" x14ac:dyDescent="0.25">
      <c r="A72" s="11" t="s">
        <v>70</v>
      </c>
      <c r="B72" s="8">
        <v>72847.820000000007</v>
      </c>
    </row>
    <row r="73" spans="1:4" x14ac:dyDescent="0.25">
      <c r="A73" s="11" t="s">
        <v>71</v>
      </c>
      <c r="B73" s="8">
        <v>71995.25</v>
      </c>
    </row>
    <row r="74" spans="1:4" x14ac:dyDescent="0.25">
      <c r="A74" s="11" t="s">
        <v>75</v>
      </c>
      <c r="B74" s="8">
        <v>70562.44</v>
      </c>
    </row>
  </sheetData>
  <sortState xmlns:xlrd2="http://schemas.microsoft.com/office/spreadsheetml/2017/richdata2" ref="A2:A58">
    <sortCondition ref="A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Boergadine</dc:creator>
  <cp:lastModifiedBy>Thomas Jackson</cp:lastModifiedBy>
  <dcterms:created xsi:type="dcterms:W3CDTF">2025-06-13T19:11:45Z</dcterms:created>
  <dcterms:modified xsi:type="dcterms:W3CDTF">2025-10-02T21:56:38Z</dcterms:modified>
</cp:coreProperties>
</file>