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ed\Dropbox\VIP Claim Service\Tuffon AI Project\Comp bids\"/>
    </mc:Choice>
  </mc:AlternateContent>
  <xr:revisionPtr revIDLastSave="0" documentId="13_ncr:1_{4B6A0765-5DE7-4ABE-866B-F7CE3247BBF9}" xr6:coauthVersionLast="47" xr6:coauthVersionMax="47" xr10:uidLastSave="{00000000-0000-0000-0000-000000000000}"/>
  <bookViews>
    <workbookView xWindow="-110" yWindow="-110" windowWidth="22620" windowHeight="13500" xr2:uid="{1C424EE6-7598-47C0-AA4C-4C260A4AD4EC}"/>
  </bookViews>
  <sheets>
    <sheet name="Updated Bid Comp " sheetId="3" r:id="rId1"/>
    <sheet name="Summary 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/>
  <c r="C1" i="4"/>
  <c r="B29" i="4"/>
  <c r="D29" i="4" s="1"/>
  <c r="B26" i="4"/>
  <c r="D26" i="4" s="1"/>
  <c r="B24" i="4"/>
  <c r="B22" i="4"/>
  <c r="D22" i="4" s="1"/>
  <c r="D23" i="4"/>
  <c r="D24" i="4"/>
  <c r="D25" i="4"/>
  <c r="D27" i="4"/>
  <c r="D28" i="4"/>
  <c r="D21" i="4"/>
  <c r="B50" i="3"/>
  <c r="D50" i="3" s="1"/>
  <c r="F46" i="3"/>
  <c r="E46" i="3"/>
  <c r="D3" i="4"/>
  <c r="D4" i="4"/>
  <c r="D5" i="4"/>
  <c r="D6" i="4"/>
  <c r="D7" i="4"/>
  <c r="D8" i="4"/>
  <c r="D9" i="4"/>
  <c r="D10" i="4"/>
  <c r="D11" i="4"/>
  <c r="D12" i="4"/>
  <c r="D13" i="4"/>
  <c r="C2" i="4"/>
  <c r="B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2" i="3"/>
  <c r="C50" i="3"/>
  <c r="C14" i="3"/>
  <c r="B44" i="3"/>
  <c r="D2" i="4" l="1"/>
  <c r="D14" i="4"/>
  <c r="D15" i="4" s="1"/>
  <c r="D16" i="4" s="1"/>
</calcChain>
</file>

<file path=xl/sharedStrings.xml><?xml version="1.0" encoding="utf-8"?>
<sst xmlns="http://schemas.openxmlformats.org/spreadsheetml/2006/main" count="90" uniqueCount="78">
  <si>
    <t>APPLIANCES</t>
  </si>
  <si>
    <t>CABINETRY</t>
  </si>
  <si>
    <t>CLEANING</t>
  </si>
  <si>
    <t>GENERAL DEMOLITION</t>
  </si>
  <si>
    <t>DOORS</t>
  </si>
  <si>
    <t>ELECTRICAL</t>
  </si>
  <si>
    <t>HEAVY EQUIPMENT</t>
  </si>
  <si>
    <t>FLOOR COVERING - VINYL</t>
  </si>
  <si>
    <t>FLOOR COVERING - WOOD</t>
  </si>
  <si>
    <t>FINISH CARPENTRY / TRIMWORK</t>
  </si>
  <si>
    <t>FINISH HARDWARE</t>
  </si>
  <si>
    <t>FRAMING &amp; ROUGH CARPENTRY</t>
  </si>
  <si>
    <t>HEAT, VENT &amp; AIR CONDITIONING</t>
  </si>
  <si>
    <t>INSULATION</t>
  </si>
  <si>
    <t>LABOR ONLY</t>
  </si>
  <si>
    <t>ORNAMENTAL IRON</t>
  </si>
  <si>
    <t>INTERIOR LATH &amp; PLASTER</t>
  </si>
  <si>
    <t>PLUMBING</t>
  </si>
  <si>
    <t>PANELING &amp; WOOD WALL FINISHES</t>
  </si>
  <si>
    <t>PAINTING</t>
  </si>
  <si>
    <t>ROOFING</t>
  </si>
  <si>
    <t>SCAFFOLDING</t>
  </si>
  <si>
    <t>STUCCO &amp; EXTERIOR PLASTER</t>
  </si>
  <si>
    <t>TILE</t>
  </si>
  <si>
    <t>TEMPORARY REPAIRS</t>
  </si>
  <si>
    <t>WINDOWS - WOOD</t>
  </si>
  <si>
    <t>Permits and Fees</t>
  </si>
  <si>
    <t>Material Sales Tax</t>
  </si>
  <si>
    <t>Overhead</t>
  </si>
  <si>
    <t>Profit</t>
  </si>
  <si>
    <t>Total</t>
  </si>
  <si>
    <t>CONTENT MANIPULATION</t>
  </si>
  <si>
    <t>HAZARDOUS MATERIAL REMEDIATION</t>
  </si>
  <si>
    <t>LIGHT FIXTURES</t>
  </si>
  <si>
    <t>WINDOW TREATMENT</t>
  </si>
  <si>
    <t>WINDOWS - VINYL</t>
  </si>
  <si>
    <t>Storage Rental Tax</t>
  </si>
  <si>
    <t>Carriers O&amp;P Items</t>
  </si>
  <si>
    <t>AWNINGS &amp; PATIO COVERS</t>
  </si>
  <si>
    <t>MASONRY</t>
  </si>
  <si>
    <t>MIRRORS &amp; SHOWER DOORS</t>
  </si>
  <si>
    <t xml:space="preserve">CONCRETE </t>
  </si>
  <si>
    <t>DRYWALL</t>
  </si>
  <si>
    <t>EXCAVATION</t>
  </si>
  <si>
    <t>WINDOWS - SKYLIGHTS</t>
  </si>
  <si>
    <t>SUB - TOTAL</t>
  </si>
  <si>
    <t>SOFFIT, FASCIA GUTTER</t>
  </si>
  <si>
    <t>TOILET &amp; BATH ACCESSORIES</t>
  </si>
  <si>
    <t>Farmers 8.31.23</t>
  </si>
  <si>
    <t>Notes</t>
  </si>
  <si>
    <t>Apex 7.30.24</t>
  </si>
  <si>
    <t>FLOOR COVERING - TILE/STONE</t>
  </si>
  <si>
    <t xml:space="preserve">DELTA </t>
  </si>
  <si>
    <t>Difference</t>
  </si>
  <si>
    <t>Trade/Category</t>
  </si>
  <si>
    <t xml:space="preserve">Supervision of 20hrs per week x 10 months, Farmers allowed for 20hrs per week for 5 months of repairs. Also allowed no general labor/runner labor or daily clean up.  </t>
  </si>
  <si>
    <t>No awnings included from front of building</t>
  </si>
  <si>
    <t>CLEANING/DEMO/Equipment/HMR</t>
  </si>
  <si>
    <t xml:space="preserve">Large Delta on Estimate cost to Mitigate, Demo and Clean including use of Heavy Equipment.  Actual Tacmit invoice : </t>
  </si>
  <si>
    <t>Sub Total</t>
  </si>
  <si>
    <t>O&amp;P&amp;TAX (approximate)</t>
  </si>
  <si>
    <t>22.5% (20%O&amp;P +2.25% Material tax)</t>
  </si>
  <si>
    <t>DELTA TOTALS w/O&amp;P&amp;Tax</t>
  </si>
  <si>
    <t>722.5 entry &amp; stairs</t>
  </si>
  <si>
    <t>724.5 entry &amp; stairs</t>
  </si>
  <si>
    <t>726.5 entry &amp; stairs</t>
  </si>
  <si>
    <t>728.5 entry &amp; stairs</t>
  </si>
  <si>
    <t>730.5 entry &amp; stairs</t>
  </si>
  <si>
    <t>Residential Units Comp</t>
  </si>
  <si>
    <r>
      <t xml:space="preserve">Apex estimate includes </t>
    </r>
    <r>
      <rPr>
        <b/>
        <sz val="11"/>
        <color theme="1"/>
        <rFont val="Calibri"/>
        <family val="2"/>
        <scheme val="minor"/>
      </rPr>
      <t>Commerical re-plumb</t>
    </r>
    <r>
      <rPr>
        <sz val="11"/>
        <color theme="1"/>
        <rFont val="Calibri"/>
        <family val="2"/>
        <scheme val="minor"/>
      </rPr>
      <t xml:space="preserve"> of the downstairs commercial units, and rough in per fixture of upstairs tenant units.  Farmers estimate include </t>
    </r>
    <r>
      <rPr>
        <b/>
        <sz val="11"/>
        <color theme="1"/>
        <rFont val="Calibri"/>
        <family val="2"/>
        <scheme val="minor"/>
      </rPr>
      <t xml:space="preserve">residential rough-in </t>
    </r>
    <r>
      <rPr>
        <sz val="11"/>
        <color theme="1"/>
        <rFont val="Calibri"/>
        <family val="2"/>
        <scheme val="minor"/>
      </rPr>
      <t>by SF in the Commerical lower level. Farmers estimate also doesn’t allow for natural gas line repairs, only testing. Gas lines were damaged by fire and shouldbe be PWI.</t>
    </r>
  </si>
  <si>
    <t>Commerical Rough in ELE for units 726 &amp; 728 due to existing electrical set up.  Need MEP Plans and ELE estimate.</t>
  </si>
  <si>
    <t xml:space="preserve">Estimate-wide differences for PNT all over.  </t>
  </si>
  <si>
    <t>degraded/damaged brick where framing pockets are, also brick around windows damage</t>
  </si>
  <si>
    <t>Need HVAC report or sub bid</t>
  </si>
  <si>
    <t>Redwood paneling in stairwell and common areas</t>
  </si>
  <si>
    <t>Different in roll up doors and Iron security doors</t>
  </si>
  <si>
    <t>Flat roof replacement in Atriums, Shoring, high roof charge, flashing and drains</t>
  </si>
  <si>
    <t>difference in assumed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</si>
</sst>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44" fontId="0" fillId="0" borderId="0" xfId="1" applyFont="1"/>
    <xf numFmtId="0" fontId="3" fillId="0" borderId="0" xfId="0" applyFont="1"/>
    <xf numFmtId="44" fontId="3" fillId="0" borderId="0" xfId="1" applyFont="1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3" fillId="0" borderId="1" xfId="0" applyFont="1" applyBorder="1"/>
    <xf numFmtId="44" fontId="3" fillId="0" borderId="1" xfId="1" applyFont="1" applyBorder="1"/>
    <xf numFmtId="0" fontId="2" fillId="0" borderId="1" xfId="0" applyFont="1" applyBorder="1"/>
    <xf numFmtId="44" fontId="2" fillId="0" borderId="1" xfId="1" applyFont="1" applyBorder="1"/>
    <xf numFmtId="8" fontId="2" fillId="0" borderId="1" xfId="1" applyNumberFormat="1" applyFont="1" applyBorder="1" applyAlignment="1">
      <alignment horizontal="center"/>
    </xf>
    <xf numFmtId="8" fontId="0" fillId="0" borderId="1" xfId="1" applyNumberFormat="1" applyFont="1" applyBorder="1"/>
    <xf numFmtId="8" fontId="3" fillId="0" borderId="1" xfId="1" applyNumberFormat="1" applyFont="1" applyBorder="1"/>
    <xf numFmtId="0" fontId="0" fillId="0" borderId="0" xfId="0" applyAlignment="1">
      <alignment wrapText="1"/>
    </xf>
    <xf numFmtId="8" fontId="0" fillId="0" borderId="0" xfId="0" applyNumberFormat="1"/>
    <xf numFmtId="0" fontId="0" fillId="0" borderId="2" xfId="0" applyBorder="1"/>
    <xf numFmtId="10" fontId="0" fillId="0" borderId="0" xfId="2" applyNumberFormat="1" applyFont="1"/>
    <xf numFmtId="10" fontId="3" fillId="0" borderId="0" xfId="2" applyNumberFormat="1" applyFont="1"/>
    <xf numFmtId="0" fontId="3" fillId="0" borderId="2" xfId="0" applyFont="1" applyBorder="1"/>
    <xf numFmtId="8" fontId="3" fillId="0" borderId="0" xfId="0" applyNumberFormat="1" applyFont="1"/>
    <xf numFmtId="0" fontId="3" fillId="0" borderId="0" xfId="0" applyFont="1" applyAlignment="1">
      <alignment wrapText="1"/>
    </xf>
    <xf numFmtId="0" fontId="0" fillId="0" borderId="1" xfId="0" applyBorder="1" applyAlignment="1">
      <alignment horizontal="right"/>
    </xf>
    <xf numFmtId="44" fontId="0" fillId="0" borderId="1" xfId="0" applyNumberFormat="1" applyBorder="1"/>
    <xf numFmtId="0" fontId="2" fillId="2" borderId="0" xfId="0" applyFont="1" applyFill="1"/>
    <xf numFmtId="44" fontId="2" fillId="2" borderId="0" xfId="1" applyFont="1" applyFill="1"/>
    <xf numFmtId="0" fontId="2" fillId="2" borderId="0" xfId="0" applyFont="1" applyFill="1" applyAlignment="1">
      <alignment wrapText="1"/>
    </xf>
    <xf numFmtId="0" fontId="0" fillId="0" borderId="1" xfId="0" applyBorder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2">
    <dxf>
      <fill>
        <patternFill patternType="solid">
          <fgColor auto="1"/>
          <bgColor theme="7"/>
        </patternFill>
      </fill>
    </dxf>
    <dxf>
      <fill>
        <patternFill patternType="solid">
          <fgColor auto="1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1D97-53FA-4D51-97EB-C68EDC3AA025}">
  <dimension ref="A1:F50"/>
  <sheetViews>
    <sheetView tabSelected="1" workbookViewId="0">
      <selection activeCell="C22" sqref="C22"/>
    </sheetView>
  </sheetViews>
  <sheetFormatPr defaultRowHeight="14.5" x14ac:dyDescent="0.35"/>
  <cols>
    <col min="1" max="1" width="34.1796875" style="7" bestFit="1" customWidth="1"/>
    <col min="2" max="2" width="16.26953125" style="8" customWidth="1"/>
    <col min="3" max="3" width="19.81640625" style="8" customWidth="1"/>
    <col min="4" max="4" width="18.1796875" style="14" customWidth="1"/>
    <col min="5" max="5" width="13.54296875" style="19" customWidth="1"/>
  </cols>
  <sheetData>
    <row r="1" spans="1:4" x14ac:dyDescent="0.35">
      <c r="A1" s="5" t="s">
        <v>37</v>
      </c>
      <c r="B1" s="6" t="s">
        <v>48</v>
      </c>
      <c r="C1" s="6" t="s">
        <v>50</v>
      </c>
      <c r="D1" s="13" t="s">
        <v>52</v>
      </c>
    </row>
    <row r="2" spans="1:4" x14ac:dyDescent="0.35">
      <c r="A2" s="7" t="s">
        <v>0</v>
      </c>
      <c r="B2" s="8">
        <v>2590.2399999999998</v>
      </c>
      <c r="C2" s="8">
        <v>5289.46</v>
      </c>
      <c r="D2" s="14">
        <f>B2-C2</f>
        <v>-2699.2200000000003</v>
      </c>
    </row>
    <row r="3" spans="1:4" x14ac:dyDescent="0.35">
      <c r="A3" s="7" t="s">
        <v>38</v>
      </c>
      <c r="B3" s="8">
        <v>0</v>
      </c>
      <c r="C3" s="8">
        <v>6017.92</v>
      </c>
      <c r="D3" s="14">
        <f t="shared" ref="D3:D43" si="0">B3-C3</f>
        <v>-6017.92</v>
      </c>
    </row>
    <row r="4" spans="1:4" x14ac:dyDescent="0.35">
      <c r="A4" s="7" t="s">
        <v>1</v>
      </c>
      <c r="B4" s="8">
        <v>11286.48</v>
      </c>
      <c r="C4" s="8">
        <v>16304.22</v>
      </c>
      <c r="D4" s="14">
        <f t="shared" si="0"/>
        <v>-5017.74</v>
      </c>
    </row>
    <row r="5" spans="1:4" x14ac:dyDescent="0.35">
      <c r="A5" s="7" t="s">
        <v>2</v>
      </c>
      <c r="B5" s="12">
        <v>34257.69</v>
      </c>
      <c r="C5" s="8">
        <v>72202.720000000001</v>
      </c>
      <c r="D5" s="14">
        <f t="shared" si="0"/>
        <v>-37945.03</v>
      </c>
    </row>
    <row r="6" spans="1:4" x14ac:dyDescent="0.35">
      <c r="A6" s="7" t="s">
        <v>41</v>
      </c>
      <c r="B6" s="8">
        <v>10550.15</v>
      </c>
      <c r="C6" s="8">
        <v>11389.63</v>
      </c>
      <c r="D6" s="14">
        <f t="shared" si="0"/>
        <v>-839.47999999999956</v>
      </c>
    </row>
    <row r="7" spans="1:4" x14ac:dyDescent="0.35">
      <c r="A7" s="7" t="s">
        <v>31</v>
      </c>
      <c r="B7" s="8">
        <v>0</v>
      </c>
      <c r="C7" s="8">
        <v>1598.5</v>
      </c>
      <c r="D7" s="14">
        <f t="shared" si="0"/>
        <v>-1598.5</v>
      </c>
    </row>
    <row r="8" spans="1:4" x14ac:dyDescent="0.35">
      <c r="A8" s="7" t="s">
        <v>3</v>
      </c>
      <c r="B8" s="12">
        <v>22718.47</v>
      </c>
      <c r="C8" s="8">
        <v>50172.36</v>
      </c>
      <c r="D8" s="14">
        <f t="shared" si="0"/>
        <v>-27453.89</v>
      </c>
    </row>
    <row r="9" spans="1:4" x14ac:dyDescent="0.35">
      <c r="A9" s="7" t="s">
        <v>4</v>
      </c>
      <c r="B9" s="8">
        <v>19061.87</v>
      </c>
      <c r="C9" s="8">
        <v>29697.65</v>
      </c>
      <c r="D9" s="14">
        <f t="shared" si="0"/>
        <v>-10635.780000000002</v>
      </c>
    </row>
    <row r="10" spans="1:4" x14ac:dyDescent="0.35">
      <c r="A10" s="7" t="s">
        <v>42</v>
      </c>
      <c r="B10" s="8">
        <v>2090.79</v>
      </c>
      <c r="C10" s="8">
        <v>2103.5100000000002</v>
      </c>
      <c r="D10" s="14">
        <f t="shared" si="0"/>
        <v>-12.720000000000255</v>
      </c>
    </row>
    <row r="11" spans="1:4" x14ac:dyDescent="0.35">
      <c r="A11" s="7" t="s">
        <v>5</v>
      </c>
      <c r="B11" s="8">
        <v>86299.29</v>
      </c>
      <c r="C11" s="8">
        <v>140229.92000000001</v>
      </c>
      <c r="D11" s="14">
        <f t="shared" si="0"/>
        <v>-53930.630000000019</v>
      </c>
    </row>
    <row r="12" spans="1:4" x14ac:dyDescent="0.35">
      <c r="A12" s="7" t="s">
        <v>6</v>
      </c>
      <c r="B12" s="12">
        <v>5448.04</v>
      </c>
      <c r="C12" s="8">
        <v>23171.42</v>
      </c>
      <c r="D12" s="14">
        <f t="shared" si="0"/>
        <v>-17723.379999999997</v>
      </c>
    </row>
    <row r="13" spans="1:4" x14ac:dyDescent="0.35">
      <c r="A13" s="7" t="s">
        <v>43</v>
      </c>
      <c r="B13" s="12">
        <v>78.3</v>
      </c>
      <c r="C13" s="8">
        <v>1153.8</v>
      </c>
      <c r="D13" s="14">
        <f t="shared" si="0"/>
        <v>-1075.5</v>
      </c>
    </row>
    <row r="14" spans="1:4" x14ac:dyDescent="0.35">
      <c r="A14" s="7" t="s">
        <v>51</v>
      </c>
      <c r="B14" s="8">
        <v>5537.56</v>
      </c>
      <c r="C14" s="8">
        <f>293.53+41223.11</f>
        <v>41516.639999999999</v>
      </c>
      <c r="D14" s="14">
        <f t="shared" si="0"/>
        <v>-35979.08</v>
      </c>
    </row>
    <row r="15" spans="1:4" x14ac:dyDescent="0.35">
      <c r="A15" s="7" t="s">
        <v>7</v>
      </c>
      <c r="B15" s="8">
        <v>28279.759999999998</v>
      </c>
      <c r="C15" s="8">
        <v>33599.33</v>
      </c>
      <c r="D15" s="14">
        <f t="shared" si="0"/>
        <v>-5319.5700000000033</v>
      </c>
    </row>
    <row r="16" spans="1:4" x14ac:dyDescent="0.35">
      <c r="A16" s="7" t="s">
        <v>8</v>
      </c>
      <c r="B16" s="8">
        <v>24291.82</v>
      </c>
      <c r="C16" s="8">
        <v>5955.23</v>
      </c>
      <c r="D16" s="14">
        <f t="shared" si="0"/>
        <v>18336.59</v>
      </c>
    </row>
    <row r="17" spans="1:4" x14ac:dyDescent="0.35">
      <c r="A17" s="7" t="s">
        <v>26</v>
      </c>
      <c r="B17" s="8">
        <v>0</v>
      </c>
      <c r="C17" s="8">
        <v>700</v>
      </c>
      <c r="D17" s="14">
        <f t="shared" si="0"/>
        <v>-700</v>
      </c>
    </row>
    <row r="18" spans="1:4" x14ac:dyDescent="0.35">
      <c r="A18" s="7" t="s">
        <v>9</v>
      </c>
      <c r="B18" s="8">
        <v>20362.580000000002</v>
      </c>
      <c r="C18" s="8">
        <v>21998.25</v>
      </c>
      <c r="D18" s="14">
        <f t="shared" si="0"/>
        <v>-1635.6699999999983</v>
      </c>
    </row>
    <row r="19" spans="1:4" x14ac:dyDescent="0.35">
      <c r="A19" s="7" t="s">
        <v>10</v>
      </c>
      <c r="B19" s="8">
        <v>6533.25</v>
      </c>
      <c r="C19" s="8">
        <v>3334.73</v>
      </c>
      <c r="D19" s="14">
        <f t="shared" si="0"/>
        <v>3198.52</v>
      </c>
    </row>
    <row r="20" spans="1:4" x14ac:dyDescent="0.35">
      <c r="A20" s="7" t="s">
        <v>11</v>
      </c>
      <c r="B20" s="8">
        <v>34331.85</v>
      </c>
      <c r="C20" s="8">
        <v>39906.199999999997</v>
      </c>
      <c r="D20" s="14">
        <f t="shared" si="0"/>
        <v>-5574.3499999999985</v>
      </c>
    </row>
    <row r="21" spans="1:4" x14ac:dyDescent="0.35">
      <c r="A21" s="7" t="s">
        <v>32</v>
      </c>
      <c r="B21" s="8">
        <v>13.44</v>
      </c>
      <c r="C21" s="8">
        <v>919.54</v>
      </c>
      <c r="D21" s="14">
        <f t="shared" si="0"/>
        <v>-906.09999999999991</v>
      </c>
    </row>
    <row r="22" spans="1:4" x14ac:dyDescent="0.35">
      <c r="A22" s="7" t="s">
        <v>12</v>
      </c>
      <c r="B22" s="8">
        <v>5264.58</v>
      </c>
      <c r="C22" s="8">
        <v>38695.089999999997</v>
      </c>
      <c r="D22" s="14">
        <f t="shared" si="0"/>
        <v>-33430.509999999995</v>
      </c>
    </row>
    <row r="23" spans="1:4" x14ac:dyDescent="0.35">
      <c r="A23" s="7" t="s">
        <v>13</v>
      </c>
      <c r="B23" s="8">
        <v>31099.13</v>
      </c>
      <c r="C23" s="8">
        <v>31634.31</v>
      </c>
      <c r="D23" s="14">
        <f t="shared" si="0"/>
        <v>-535.18000000000029</v>
      </c>
    </row>
    <row r="24" spans="1:4" x14ac:dyDescent="0.35">
      <c r="A24" s="7" t="s">
        <v>14</v>
      </c>
      <c r="B24" s="8">
        <v>33600</v>
      </c>
      <c r="C24" s="8">
        <v>115959.67</v>
      </c>
      <c r="D24" s="14">
        <f t="shared" si="0"/>
        <v>-82359.67</v>
      </c>
    </row>
    <row r="25" spans="1:4" x14ac:dyDescent="0.35">
      <c r="A25" s="7" t="s">
        <v>33</v>
      </c>
      <c r="B25" s="8">
        <v>0</v>
      </c>
      <c r="C25" s="8">
        <v>1875.6</v>
      </c>
      <c r="D25" s="14">
        <f t="shared" si="0"/>
        <v>-1875.6</v>
      </c>
    </row>
    <row r="26" spans="1:4" x14ac:dyDescent="0.35">
      <c r="A26" s="7" t="s">
        <v>39</v>
      </c>
      <c r="B26" s="8">
        <v>7318.32</v>
      </c>
      <c r="C26" s="8">
        <v>13759.2</v>
      </c>
      <c r="D26" s="14">
        <f t="shared" si="0"/>
        <v>-6440.880000000001</v>
      </c>
    </row>
    <row r="27" spans="1:4" x14ac:dyDescent="0.35">
      <c r="A27" s="7" t="s">
        <v>40</v>
      </c>
      <c r="B27" s="8">
        <v>0</v>
      </c>
      <c r="C27" s="8">
        <v>251.44</v>
      </c>
      <c r="D27" s="14">
        <f t="shared" si="0"/>
        <v>-251.44</v>
      </c>
    </row>
    <row r="28" spans="1:4" x14ac:dyDescent="0.35">
      <c r="A28" s="7" t="s">
        <v>15</v>
      </c>
      <c r="B28" s="8">
        <v>3331.77</v>
      </c>
      <c r="C28" s="8">
        <v>3387.65</v>
      </c>
      <c r="D28" s="14">
        <f t="shared" si="0"/>
        <v>-55.880000000000109</v>
      </c>
    </row>
    <row r="29" spans="1:4" x14ac:dyDescent="0.35">
      <c r="A29" s="7" t="s">
        <v>16</v>
      </c>
      <c r="B29" s="8">
        <v>231311.73</v>
      </c>
      <c r="C29" s="8">
        <v>242773</v>
      </c>
      <c r="D29" s="14">
        <f t="shared" si="0"/>
        <v>-11461.26999999999</v>
      </c>
    </row>
    <row r="30" spans="1:4" x14ac:dyDescent="0.35">
      <c r="A30" s="7" t="s">
        <v>17</v>
      </c>
      <c r="B30" s="8">
        <v>31663.69</v>
      </c>
      <c r="C30" s="8">
        <v>80704.929999999993</v>
      </c>
      <c r="D30" s="14">
        <f t="shared" si="0"/>
        <v>-49041.239999999991</v>
      </c>
    </row>
    <row r="31" spans="1:4" x14ac:dyDescent="0.35">
      <c r="A31" s="7" t="s">
        <v>18</v>
      </c>
      <c r="B31" s="8">
        <v>7689.47</v>
      </c>
      <c r="C31" s="8">
        <v>13234.67</v>
      </c>
      <c r="D31" s="14">
        <f t="shared" si="0"/>
        <v>-5545.2</v>
      </c>
    </row>
    <row r="32" spans="1:4" x14ac:dyDescent="0.35">
      <c r="A32" s="7" t="s">
        <v>19</v>
      </c>
      <c r="B32" s="8">
        <v>119148.12</v>
      </c>
      <c r="C32" s="8">
        <v>174650.61</v>
      </c>
      <c r="D32" s="14">
        <f t="shared" si="0"/>
        <v>-55502.489999999991</v>
      </c>
    </row>
    <row r="33" spans="1:6" x14ac:dyDescent="0.35">
      <c r="A33" s="7" t="s">
        <v>20</v>
      </c>
      <c r="B33" s="8">
        <v>37425.03</v>
      </c>
      <c r="C33" s="8">
        <v>54042.54</v>
      </c>
      <c r="D33" s="14">
        <f t="shared" si="0"/>
        <v>-16617.510000000002</v>
      </c>
    </row>
    <row r="34" spans="1:6" x14ac:dyDescent="0.35">
      <c r="A34" s="7" t="s">
        <v>21</v>
      </c>
      <c r="B34" s="8">
        <v>480</v>
      </c>
      <c r="C34" s="8">
        <v>5700.84</v>
      </c>
      <c r="D34" s="14">
        <f t="shared" si="0"/>
        <v>-5220.84</v>
      </c>
    </row>
    <row r="35" spans="1:6" x14ac:dyDescent="0.35">
      <c r="A35" s="7" t="s">
        <v>46</v>
      </c>
      <c r="B35" s="8">
        <v>4399.2</v>
      </c>
      <c r="C35" s="8">
        <v>4407</v>
      </c>
      <c r="D35" s="14">
        <f t="shared" si="0"/>
        <v>-7.8000000000001819</v>
      </c>
    </row>
    <row r="36" spans="1:6" x14ac:dyDescent="0.35">
      <c r="A36" s="7" t="s">
        <v>22</v>
      </c>
      <c r="B36" s="8">
        <v>3283.16</v>
      </c>
      <c r="C36" s="8">
        <v>3419.54</v>
      </c>
      <c r="D36" s="14">
        <f t="shared" si="0"/>
        <v>-136.38000000000011</v>
      </c>
    </row>
    <row r="37" spans="1:6" x14ac:dyDescent="0.35">
      <c r="A37" s="7" t="s">
        <v>47</v>
      </c>
      <c r="B37" s="8">
        <v>193.56</v>
      </c>
      <c r="C37" s="8">
        <v>339.1</v>
      </c>
      <c r="D37" s="14">
        <f t="shared" si="0"/>
        <v>-145.54000000000002</v>
      </c>
    </row>
    <row r="38" spans="1:6" x14ac:dyDescent="0.35">
      <c r="A38" s="7" t="s">
        <v>23</v>
      </c>
      <c r="B38" s="8">
        <v>10502.7</v>
      </c>
      <c r="C38" s="8">
        <v>13728.68</v>
      </c>
      <c r="D38" s="14">
        <f t="shared" si="0"/>
        <v>-3225.9799999999996</v>
      </c>
    </row>
    <row r="39" spans="1:6" x14ac:dyDescent="0.35">
      <c r="A39" s="7" t="s">
        <v>24</v>
      </c>
      <c r="B39" s="8">
        <v>3262</v>
      </c>
      <c r="C39" s="8">
        <v>4412.28</v>
      </c>
      <c r="D39" s="14">
        <f t="shared" si="0"/>
        <v>-1150.2799999999997</v>
      </c>
    </row>
    <row r="40" spans="1:6" x14ac:dyDescent="0.35">
      <c r="A40" s="7" t="s">
        <v>44</v>
      </c>
      <c r="B40" s="8">
        <v>3574.25</v>
      </c>
      <c r="C40" s="8">
        <v>4036.35</v>
      </c>
      <c r="D40" s="14">
        <f t="shared" si="0"/>
        <v>-462.09999999999991</v>
      </c>
    </row>
    <row r="41" spans="1:6" x14ac:dyDescent="0.35">
      <c r="A41" s="7" t="s">
        <v>34</v>
      </c>
      <c r="C41" s="8">
        <v>1174.7</v>
      </c>
      <c r="D41" s="14">
        <f t="shared" si="0"/>
        <v>-1174.7</v>
      </c>
    </row>
    <row r="42" spans="1:6" x14ac:dyDescent="0.35">
      <c r="A42" s="7" t="s">
        <v>35</v>
      </c>
      <c r="B42" s="8">
        <v>313.05</v>
      </c>
      <c r="C42" s="8">
        <v>1163.92</v>
      </c>
      <c r="D42" s="14">
        <f t="shared" si="0"/>
        <v>-850.87000000000012</v>
      </c>
    </row>
    <row r="43" spans="1:6" x14ac:dyDescent="0.35">
      <c r="A43" s="7" t="s">
        <v>25</v>
      </c>
      <c r="B43" s="8">
        <v>19112.84</v>
      </c>
      <c r="C43" s="8">
        <v>11398.52</v>
      </c>
      <c r="D43" s="14">
        <f t="shared" si="0"/>
        <v>7714.32</v>
      </c>
    </row>
    <row r="44" spans="1:6" s="3" customFormat="1" ht="15.5" x14ac:dyDescent="0.35">
      <c r="A44" s="9" t="s">
        <v>45</v>
      </c>
      <c r="B44" s="10">
        <f>SUM(B2:B43)</f>
        <v>866704.17999999993</v>
      </c>
      <c r="C44" s="10">
        <v>1328010.6599999999</v>
      </c>
      <c r="D44" s="15"/>
      <c r="E44" s="20"/>
    </row>
    <row r="45" spans="1:6" x14ac:dyDescent="0.35">
      <c r="A45" s="7" t="s">
        <v>26</v>
      </c>
      <c r="B45" s="8">
        <v>95.62</v>
      </c>
      <c r="C45" s="8">
        <v>104.81</v>
      </c>
    </row>
    <row r="46" spans="1:6" x14ac:dyDescent="0.35">
      <c r="A46" s="7" t="s">
        <v>27</v>
      </c>
      <c r="B46" s="8">
        <v>22157.34</v>
      </c>
      <c r="C46" s="8">
        <v>28640.76</v>
      </c>
      <c r="E46" s="19">
        <f>C46/C44</f>
        <v>2.1566664231445251E-2</v>
      </c>
      <c r="F46" s="19">
        <f>B46/B44</f>
        <v>2.5565054964890099E-2</v>
      </c>
    </row>
    <row r="47" spans="1:6" x14ac:dyDescent="0.35">
      <c r="A47" s="7" t="s">
        <v>36</v>
      </c>
      <c r="B47" s="8">
        <v>0</v>
      </c>
      <c r="C47" s="8">
        <v>151.86000000000001</v>
      </c>
    </row>
    <row r="48" spans="1:6" x14ac:dyDescent="0.35">
      <c r="A48" s="7" t="s">
        <v>28</v>
      </c>
      <c r="B48" s="8">
        <v>88896.25</v>
      </c>
      <c r="C48" s="8">
        <v>135691.85999999999</v>
      </c>
    </row>
    <row r="49" spans="1:4" x14ac:dyDescent="0.35">
      <c r="A49" s="7" t="s">
        <v>29</v>
      </c>
      <c r="B49" s="8">
        <v>88896.25</v>
      </c>
      <c r="C49" s="8">
        <v>135691.85999999999</v>
      </c>
    </row>
    <row r="50" spans="1:4" x14ac:dyDescent="0.35">
      <c r="A50" s="11" t="s">
        <v>30</v>
      </c>
      <c r="B50" s="12">
        <f>SUM(B44:B49)</f>
        <v>1066749.6399999999</v>
      </c>
      <c r="C50" s="12">
        <f>C49+C48+C47+C46+C45+C44</f>
        <v>1628291.8099999998</v>
      </c>
      <c r="D50" s="8">
        <f>B50-C50</f>
        <v>-561542.16999999993</v>
      </c>
    </row>
  </sheetData>
  <conditionalFormatting sqref="D1:D1048576">
    <cfRule type="cellIs" dxfId="0" priority="1" operator="between">
      <formula>-2000</formula>
      <formula>-2000000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89F4-26FF-47D8-92E9-9A934108ADC6}">
  <dimension ref="A1:E29"/>
  <sheetViews>
    <sheetView topLeftCell="A5" workbookViewId="0">
      <selection activeCell="C25" sqref="C25"/>
    </sheetView>
  </sheetViews>
  <sheetFormatPr defaultRowHeight="14.5" x14ac:dyDescent="0.35"/>
  <cols>
    <col min="1" max="1" width="32.54296875" bestFit="1" customWidth="1"/>
    <col min="2" max="2" width="14.7265625" style="2" customWidth="1"/>
    <col min="3" max="3" width="15.26953125" style="2" customWidth="1"/>
    <col min="4" max="4" width="14.7265625" customWidth="1"/>
    <col min="5" max="5" width="121.1796875" style="16" customWidth="1"/>
  </cols>
  <sheetData>
    <row r="1" spans="1:5" s="26" customFormat="1" x14ac:dyDescent="0.35">
      <c r="A1" s="26" t="s">
        <v>54</v>
      </c>
      <c r="B1" s="27" t="str">
        <f>'Updated Bid Comp '!B1</f>
        <v>Farmers 8.31.23</v>
      </c>
      <c r="C1" s="27" t="str">
        <f>'Updated Bid Comp '!C1</f>
        <v>Apex 7.30.24</v>
      </c>
      <c r="D1" s="26" t="s">
        <v>53</v>
      </c>
      <c r="E1" s="28" t="s">
        <v>49</v>
      </c>
    </row>
    <row r="2" spans="1:5" x14ac:dyDescent="0.35">
      <c r="A2" s="7" t="s">
        <v>57</v>
      </c>
      <c r="B2" s="8">
        <f>'Updated Bid Comp '!B5+'Updated Bid Comp '!B8+'Updated Bid Comp '!B12+'Updated Bid Comp '!B13</f>
        <v>62502.500000000007</v>
      </c>
      <c r="C2" s="8">
        <f>'Updated Bid Comp '!C5+'Updated Bid Comp '!C8+'Updated Bid Comp '!C12+'Updated Bid Comp '!C13</f>
        <v>146700.29999999999</v>
      </c>
      <c r="D2" s="8">
        <f>C2-B2</f>
        <v>84197.799999999988</v>
      </c>
      <c r="E2" s="29" t="s">
        <v>58</v>
      </c>
    </row>
    <row r="3" spans="1:5" ht="29" x14ac:dyDescent="0.35">
      <c r="A3" s="7" t="s">
        <v>14</v>
      </c>
      <c r="B3" s="8">
        <v>33600</v>
      </c>
      <c r="C3" s="8">
        <v>115959.67</v>
      </c>
      <c r="D3" s="8">
        <f t="shared" ref="D3:D13" si="0">C3-B3</f>
        <v>82359.67</v>
      </c>
      <c r="E3" s="29" t="s">
        <v>55</v>
      </c>
    </row>
    <row r="4" spans="1:5" x14ac:dyDescent="0.35">
      <c r="A4" s="7" t="s">
        <v>19</v>
      </c>
      <c r="B4" s="8">
        <v>119148.12</v>
      </c>
      <c r="C4" s="8">
        <v>174650.61</v>
      </c>
      <c r="D4" s="8">
        <f t="shared" si="0"/>
        <v>55502.489999999991</v>
      </c>
      <c r="E4" s="29" t="s">
        <v>71</v>
      </c>
    </row>
    <row r="5" spans="1:5" x14ac:dyDescent="0.35">
      <c r="A5" s="7" t="s">
        <v>5</v>
      </c>
      <c r="B5" s="8">
        <v>86299.29</v>
      </c>
      <c r="C5" s="8">
        <v>140229.92000000001</v>
      </c>
      <c r="D5" s="8">
        <f t="shared" si="0"/>
        <v>53930.630000000019</v>
      </c>
      <c r="E5" s="29" t="s">
        <v>70</v>
      </c>
    </row>
    <row r="6" spans="1:5" ht="43.5" x14ac:dyDescent="0.35">
      <c r="A6" s="7" t="s">
        <v>17</v>
      </c>
      <c r="B6" s="8">
        <v>31663.69</v>
      </c>
      <c r="C6" s="8">
        <v>80704.929999999993</v>
      </c>
      <c r="D6" s="8">
        <f t="shared" si="0"/>
        <v>49041.239999999991</v>
      </c>
      <c r="E6" s="29" t="s">
        <v>69</v>
      </c>
    </row>
    <row r="7" spans="1:5" x14ac:dyDescent="0.35">
      <c r="A7" s="7" t="s">
        <v>12</v>
      </c>
      <c r="B7" s="8">
        <v>5264.58</v>
      </c>
      <c r="C7" s="8">
        <v>38695.089999999997</v>
      </c>
      <c r="D7" s="8">
        <f t="shared" si="0"/>
        <v>33430.509999999995</v>
      </c>
      <c r="E7" s="29" t="s">
        <v>73</v>
      </c>
    </row>
    <row r="8" spans="1:5" x14ac:dyDescent="0.35">
      <c r="A8" s="7" t="s">
        <v>20</v>
      </c>
      <c r="B8" s="8">
        <v>37425.03</v>
      </c>
      <c r="C8" s="8">
        <v>54042.54</v>
      </c>
      <c r="D8" s="8">
        <f t="shared" si="0"/>
        <v>16617.510000000002</v>
      </c>
      <c r="E8" s="29" t="s">
        <v>76</v>
      </c>
    </row>
    <row r="9" spans="1:5" x14ac:dyDescent="0.35">
      <c r="A9" s="7" t="s">
        <v>4</v>
      </c>
      <c r="B9" s="8">
        <v>19061.87</v>
      </c>
      <c r="C9" s="8">
        <v>29697.65</v>
      </c>
      <c r="D9" s="8">
        <f t="shared" si="0"/>
        <v>10635.780000000002</v>
      </c>
      <c r="E9" s="29" t="s">
        <v>75</v>
      </c>
    </row>
    <row r="10" spans="1:5" x14ac:dyDescent="0.35">
      <c r="A10" s="7" t="s">
        <v>39</v>
      </c>
      <c r="B10" s="8">
        <v>7318.32</v>
      </c>
      <c r="C10" s="8">
        <v>13759.2</v>
      </c>
      <c r="D10" s="8">
        <f t="shared" si="0"/>
        <v>6440.880000000001</v>
      </c>
      <c r="E10" s="29" t="s">
        <v>72</v>
      </c>
    </row>
    <row r="11" spans="1:5" x14ac:dyDescent="0.35">
      <c r="A11" s="7" t="s">
        <v>38</v>
      </c>
      <c r="B11" s="8">
        <v>0</v>
      </c>
      <c r="C11" s="8">
        <v>6017.92</v>
      </c>
      <c r="D11" s="8">
        <f t="shared" si="0"/>
        <v>6017.92</v>
      </c>
      <c r="E11" s="29" t="s">
        <v>56</v>
      </c>
    </row>
    <row r="12" spans="1:5" x14ac:dyDescent="0.35">
      <c r="A12" s="7" t="s">
        <v>11</v>
      </c>
      <c r="B12" s="8">
        <v>34331.85</v>
      </c>
      <c r="C12" s="8">
        <v>39906.199999999997</v>
      </c>
      <c r="D12" s="8">
        <f t="shared" si="0"/>
        <v>5574.3499999999985</v>
      </c>
      <c r="E12" s="29" t="s">
        <v>77</v>
      </c>
    </row>
    <row r="13" spans="1:5" x14ac:dyDescent="0.35">
      <c r="A13" s="7" t="s">
        <v>18</v>
      </c>
      <c r="B13" s="8">
        <v>7689.47</v>
      </c>
      <c r="C13" s="8">
        <v>13234.67</v>
      </c>
      <c r="D13" s="8">
        <f t="shared" si="0"/>
        <v>5545.2</v>
      </c>
      <c r="E13" s="29" t="s">
        <v>74</v>
      </c>
    </row>
    <row r="14" spans="1:5" x14ac:dyDescent="0.35">
      <c r="A14" s="18" t="s">
        <v>59</v>
      </c>
      <c r="D14" s="17">
        <f>SUM(D2:D13)</f>
        <v>409293.98</v>
      </c>
    </row>
    <row r="15" spans="1:5" x14ac:dyDescent="0.35">
      <c r="A15" s="18" t="s">
        <v>60</v>
      </c>
      <c r="D15" s="17">
        <f>D14*0.225</f>
        <v>92091.145499999999</v>
      </c>
      <c r="E15" s="16" t="s">
        <v>61</v>
      </c>
    </row>
    <row r="16" spans="1:5" s="3" customFormat="1" ht="15.5" x14ac:dyDescent="0.35">
      <c r="A16" s="21" t="s">
        <v>62</v>
      </c>
      <c r="B16" s="4"/>
      <c r="C16" s="4"/>
      <c r="D16" s="22">
        <f>D15+D14</f>
        <v>501385.12549999997</v>
      </c>
      <c r="E16" s="23"/>
    </row>
    <row r="20" spans="1:4" x14ac:dyDescent="0.35">
      <c r="A20" s="1" t="s">
        <v>68</v>
      </c>
    </row>
    <row r="21" spans="1:4" x14ac:dyDescent="0.35">
      <c r="A21" s="24">
        <v>722.5</v>
      </c>
      <c r="B21" s="8">
        <v>149656.71</v>
      </c>
      <c r="C21" s="8">
        <v>172576.17</v>
      </c>
      <c r="D21" s="25">
        <f>C21-B21</f>
        <v>22919.460000000021</v>
      </c>
    </row>
    <row r="22" spans="1:4" x14ac:dyDescent="0.35">
      <c r="A22" s="24" t="s">
        <v>63</v>
      </c>
      <c r="B22" s="8">
        <f>3556.08+12724.78</f>
        <v>16280.86</v>
      </c>
      <c r="C22" s="8">
        <v>22803.75</v>
      </c>
      <c r="D22" s="25">
        <f t="shared" ref="D22:D29" si="1">C22-B22</f>
        <v>6522.8899999999994</v>
      </c>
    </row>
    <row r="23" spans="1:4" x14ac:dyDescent="0.35">
      <c r="A23" s="24">
        <v>724.5</v>
      </c>
      <c r="B23" s="8">
        <v>153308.78</v>
      </c>
      <c r="C23" s="8">
        <v>199067.68</v>
      </c>
      <c r="D23" s="25">
        <f t="shared" si="1"/>
        <v>45758.899999999994</v>
      </c>
    </row>
    <row r="24" spans="1:4" x14ac:dyDescent="0.35">
      <c r="A24" s="24" t="s">
        <v>64</v>
      </c>
      <c r="B24" s="8">
        <f>3556.08+12724.78</f>
        <v>16280.86</v>
      </c>
      <c r="C24" s="8">
        <v>22312.560000000001</v>
      </c>
      <c r="D24" s="25">
        <f t="shared" si="1"/>
        <v>6031.7000000000007</v>
      </c>
    </row>
    <row r="25" spans="1:4" x14ac:dyDescent="0.35">
      <c r="A25" s="24">
        <v>726.5</v>
      </c>
      <c r="B25" s="8">
        <v>19570.09</v>
      </c>
      <c r="C25" s="8">
        <v>34732.06</v>
      </c>
      <c r="D25" s="25">
        <f t="shared" si="1"/>
        <v>15161.969999999998</v>
      </c>
    </row>
    <row r="26" spans="1:4" x14ac:dyDescent="0.35">
      <c r="A26" s="24" t="s">
        <v>65</v>
      </c>
      <c r="B26" s="8">
        <f>298.47+1164.55</f>
        <v>1463.02</v>
      </c>
      <c r="C26" s="8">
        <v>4937.08</v>
      </c>
      <c r="D26" s="25">
        <f t="shared" si="1"/>
        <v>3474.06</v>
      </c>
    </row>
    <row r="27" spans="1:4" x14ac:dyDescent="0.35">
      <c r="A27" s="24">
        <v>728.5</v>
      </c>
      <c r="B27" s="8">
        <v>18365.16</v>
      </c>
      <c r="C27" s="8">
        <v>34731.440000000002</v>
      </c>
      <c r="D27" s="25">
        <f t="shared" si="1"/>
        <v>16366.280000000002</v>
      </c>
    </row>
    <row r="28" spans="1:4" x14ac:dyDescent="0.35">
      <c r="A28" s="24" t="s">
        <v>66</v>
      </c>
      <c r="B28" s="8">
        <v>1463.02</v>
      </c>
      <c r="C28" s="8">
        <v>4944.71</v>
      </c>
      <c r="D28" s="25">
        <f t="shared" si="1"/>
        <v>3481.69</v>
      </c>
    </row>
    <row r="29" spans="1:4" x14ac:dyDescent="0.35">
      <c r="A29" s="24" t="s">
        <v>67</v>
      </c>
      <c r="B29" s="8">
        <f>312.01+1168.12</f>
        <v>1480.1299999999999</v>
      </c>
      <c r="C29" s="8">
        <v>5385.38</v>
      </c>
      <c r="D29" s="25">
        <f t="shared" si="1"/>
        <v>3905.25</v>
      </c>
    </row>
  </sheetData>
  <sortState xmlns:xlrd2="http://schemas.microsoft.com/office/spreadsheetml/2017/richdata2" ref="A3:E15">
    <sortCondition ref="D1:D15"/>
  </sortState>
  <conditionalFormatting sqref="D2:D13">
    <cfRule type="cellIs" dxfId="1" priority="1" operator="between">
      <formula>-2000</formula>
      <formula>-2000000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Bid Comp </vt:lpstr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 Feekes</dc:creator>
  <cp:lastModifiedBy>Jared Boergadine</cp:lastModifiedBy>
  <dcterms:created xsi:type="dcterms:W3CDTF">2022-10-19T18:22:03Z</dcterms:created>
  <dcterms:modified xsi:type="dcterms:W3CDTF">2025-11-12T00:02:28Z</dcterms:modified>
</cp:coreProperties>
</file>